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hidePivotFieldList="1" defaultThemeVersion="166925"/>
  <mc:AlternateContent xmlns:mc="http://schemas.openxmlformats.org/markup-compatibility/2006">
    <mc:Choice Requires="x15">
      <x15ac:absPath xmlns:x15ac="http://schemas.microsoft.com/office/spreadsheetml/2010/11/ac" url="/Users/indiek/Downloads/"/>
    </mc:Choice>
  </mc:AlternateContent>
  <xr:revisionPtr revIDLastSave="0" documentId="13_ncr:2001_{FAADB510-668F-B742-8FBF-74184BD211C0}" xr6:coauthVersionLast="47" xr6:coauthVersionMax="47" xr10:uidLastSave="{00000000-0000-0000-0000-000000000000}"/>
  <bookViews>
    <workbookView xWindow="0" yWindow="740" windowWidth="29400" windowHeight="1610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<sst xmlns="http://schemas.openxmlformats.org/spreadsheetml/2006/main" count="16267" uniqueCount="51">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</sst>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[Inderdeep_Demo_Excel Project .xlsx]Pivot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54885.496183206109</c:v>
                </c:pt>
                <c:pt idx="1">
                  <c:v>59431.818181818184</c:v>
                </c:pt>
              </c:numCache>
            </c:numRef>
          </c:val>
          <c:extLst>
            <c:ext xmlns:c16="http://schemas.microsoft.com/office/drawing/2014/chart" uri="{C3380CC4-5D6E-409C-BE32-E72D297353CC}">
              <c16:uniqueId val="{00000000-0276-4742-84B3-026A0A2026D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59259.259259259263</c:v>
                </c:pt>
                <c:pt idx="1">
                  <c:v>61300.813008130084</c:v>
                </c:pt>
              </c:numCache>
            </c:numRef>
          </c:val>
          <c:extLst>
            <c:ext xmlns:c16="http://schemas.microsoft.com/office/drawing/2014/chart" uri="{C3380CC4-5D6E-409C-BE32-E72D297353CC}">
              <c16:uniqueId val="{00000001-0276-4742-84B3-026A0A2026DE}"/>
            </c:ext>
          </c:extLst>
        </c:ser>
        <c:dLbls>
          <c:showLegendKey val="0"/>
          <c:showVal val="0"/>
          <c:showCatName val="0"/>
          <c:showSerName val="0"/>
          <c:showPercent val="0"/>
          <c:showBubbleSize val="0"/>
        </c:dLbls>
        <c:gapWidth val="219"/>
        <c:overlap val="-27"/>
        <c:axId val="1171553871"/>
        <c:axId val="2024080192"/>
      </c:barChart>
      <c:catAx>
        <c:axId val="117155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0192"/>
        <c:crosses val="autoZero"/>
        <c:auto val="1"/>
        <c:lblAlgn val="ctr"/>
        <c:lblOffset val="100"/>
        <c:noMultiLvlLbl val="0"/>
      </c:catAx>
      <c:valAx>
        <c:axId val="2024080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55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[Inderdeep_Demo_Excel Project .xlsx]Pivot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E6DA-3743-A964-C4C21787327F}"/>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E6DA-3743-A964-C4C21787327F}"/>
            </c:ext>
          </c:extLst>
        </c:ser>
        <c:dLbls>
          <c:showLegendKey val="0"/>
          <c:showVal val="0"/>
          <c:showCatName val="0"/>
          <c:showSerName val="0"/>
          <c:showPercent val="0"/>
          <c:showBubbleSize val="0"/>
        </c:dLbls>
        <c:smooth val="0"/>
        <c:axId val="2095964464"/>
        <c:axId val="2095966176"/>
      </c:lineChart>
      <c:catAx>
        <c:axId val="209596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66176"/>
        <c:crosses val="autoZero"/>
        <c:auto val="1"/>
        <c:lblAlgn val="ctr"/>
        <c:lblOffset val="100"/>
        <c:noMultiLvlLbl val="0"/>
      </c:catAx>
      <c:valAx>
        <c:axId val="209596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[Inderdeep_Demo_Excel Project .xlsx]Pivot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table'!$A$39:$A$42</c:f>
              <c:strCache>
                <c:ptCount val="3"/>
                <c:pt idx="0">
                  <c:v>Adolescent</c:v>
                </c:pt>
                <c:pt idx="1">
                  <c:v>Middle Age</c:v>
                </c:pt>
                <c:pt idx="2">
                  <c:v>Old</c:v>
                </c:pt>
              </c:strCache>
            </c:strRef>
          </c:cat>
          <c:val>
            <c:numRef>
              <c:f>'Pivot table'!$B$39:$B$42</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5BDD-8243-BD58-EB1E6972B085}"/>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table'!$A$39:$A$42</c:f>
              <c:strCache>
                <c:ptCount val="3"/>
                <c:pt idx="0">
                  <c:v>Adolescent</c:v>
                </c:pt>
                <c:pt idx="1">
                  <c:v>Middle Age</c:v>
                </c:pt>
                <c:pt idx="2">
                  <c:v>Old</c:v>
                </c:pt>
              </c:strCache>
            </c:strRef>
          </c:cat>
          <c:val>
            <c:numRef>
              <c:f>'Pivot table'!$C$39:$C$42</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5BDD-8243-BD58-EB1E6972B085}"/>
            </c:ext>
          </c:extLst>
        </c:ser>
        <c:dLbls>
          <c:showLegendKey val="0"/>
          <c:showVal val="0"/>
          <c:showCatName val="0"/>
          <c:showSerName val="0"/>
          <c:showPercent val="0"/>
          <c:showBubbleSize val="0"/>
        </c:dLbls>
        <c:smooth val="0"/>
        <c:axId val="60713935"/>
        <c:axId val="61703327"/>
      </c:lineChart>
      <c:catAx>
        <c:axId val="6071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3327"/>
        <c:crosses val="autoZero"/>
        <c:auto val="1"/>
        <c:lblAlgn val="ctr"/>
        <c:lblOffset val="100"/>
        <c:noMultiLvlLbl val="0"/>
      </c:catAx>
      <c:valAx>
        <c:axId val="6170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[Inderdeep_Demo_Excel Project .xlsx]Pivot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DA72-1F40-A29E-727598E51312}"/>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DA72-1F40-A29E-727598E51312}"/>
            </c:ext>
          </c:extLst>
        </c:ser>
        <c:dLbls>
          <c:showLegendKey val="0"/>
          <c:showVal val="0"/>
          <c:showCatName val="0"/>
          <c:showSerName val="0"/>
          <c:showPercent val="0"/>
          <c:showBubbleSize val="0"/>
        </c:dLbls>
        <c:marker val="1"/>
        <c:smooth val="0"/>
        <c:axId val="60713935"/>
        <c:axId val="61703327"/>
      </c:lineChart>
      <c:catAx>
        <c:axId val="6071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3327"/>
        <c:crosses val="autoZero"/>
        <c:auto val="1"/>
        <c:lblAlgn val="ctr"/>
        <c:lblOffset val="100"/>
        <c:noMultiLvlLbl val="0"/>
      </c:catAx>
      <c:valAx>
        <c:axId val="6170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[Inderdeep_Demo_Excel Project .xlsx]Pivot table!PivotTable2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0DFF-6E4D-977B-BF13431034B8}"/>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0DFF-6E4D-977B-BF13431034B8}"/>
            </c:ext>
          </c:extLst>
        </c:ser>
        <c:dLbls>
          <c:showLegendKey val="0"/>
          <c:showVal val="0"/>
          <c:showCatName val="0"/>
          <c:showSerName val="0"/>
          <c:showPercent val="0"/>
          <c:showBubbleSize val="0"/>
        </c:dLbls>
        <c:marker val="1"/>
        <c:smooth val="0"/>
        <c:axId val="2095964464"/>
        <c:axId val="2095966176"/>
      </c:lineChart>
      <c:catAx>
        <c:axId val="209596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66176"/>
        <c:crosses val="autoZero"/>
        <c:auto val="1"/>
        <c:lblAlgn val="ctr"/>
        <c:lblOffset val="100"/>
        <c:noMultiLvlLbl val="0"/>
      </c:catAx>
      <c:valAx>
        <c:axId val="209596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[Inderdeep_Demo_Excel Project .xlsx]Pivot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54885.496183206109</c:v>
                </c:pt>
                <c:pt idx="1">
                  <c:v>59431.818181818184</c:v>
                </c:pt>
              </c:numCache>
            </c:numRef>
          </c:val>
          <c:extLst>
            <c:ext xmlns:c16="http://schemas.microsoft.com/office/drawing/2014/chart" uri="{C3380CC4-5D6E-409C-BE32-E72D297353CC}">
              <c16:uniqueId val="{00000000-3754-D343-8196-7A38FFE66D9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59259.259259259263</c:v>
                </c:pt>
                <c:pt idx="1">
                  <c:v>61300.813008130084</c:v>
                </c:pt>
              </c:numCache>
            </c:numRef>
          </c:val>
          <c:extLst>
            <c:ext xmlns:c16="http://schemas.microsoft.com/office/drawing/2014/chart" uri="{C3380CC4-5D6E-409C-BE32-E72D297353CC}">
              <c16:uniqueId val="{00000001-3754-D343-8196-7A38FFE66D9C}"/>
            </c:ext>
          </c:extLst>
        </c:ser>
        <c:dLbls>
          <c:showLegendKey val="0"/>
          <c:showVal val="0"/>
          <c:showCatName val="0"/>
          <c:showSerName val="0"/>
          <c:showPercent val="0"/>
          <c:showBubbleSize val="0"/>
        </c:dLbls>
        <c:gapWidth val="219"/>
        <c:overlap val="-27"/>
        <c:axId val="1171553871"/>
        <c:axId val="2024080192"/>
      </c:barChart>
      <c:catAx>
        <c:axId val="1171553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0192"/>
        <c:crosses val="autoZero"/>
        <c:auto val="1"/>
        <c:lblAlgn val="ctr"/>
        <c:lblOffset val="100"/>
        <c:noMultiLvlLbl val="0"/>
      </c:catAx>
      <c:valAx>
        <c:axId val="2024080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55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304800</xdr:colOff>
      <xdr:row>3</xdr:row>
      <xdr:rowOff>12700</xdr:rowOff>
    </xdr:from>
    <xdr:to>
      <xdr:col>11</xdr:col>
      <xdr:colOff>139700</xdr:colOff>
      <xdr:row>19</xdr:row>
      <xdr:rowOff>6350</xdr:rowOff>
    </xdr:to>
    <xdr:graphicFrame macro="">
      <xdr:nvGraphicFramePr>
        <xdr:cNvPr id="2" name="Chart 1">
          <a:extLst>
            <a:ext uri="{FF2B5EF4-FFF2-40B4-BE49-F238E27FC236}">
              <a16:creationId xmlns:a16="http://schemas.microsoft.com/office/drawing/2014/main" id="{1982B482-E651-364C-E8B6-7D8DCABEA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374650</xdr:colOff>
      <xdr:row>19</xdr:row>
      <xdr:rowOff>152400</xdr:rowOff>
    </xdr:from>
    <xdr:to>
      <xdr:col>10</xdr:col>
      <xdr:colOff>787400</xdr:colOff>
      <xdr:row>32</xdr:row>
      <xdr:rowOff>146050</xdr:rowOff>
    </xdr:to>
    <xdr:graphicFrame macro="">
      <xdr:nvGraphicFramePr>
        <xdr:cNvPr id="3" name="Chart 2">
          <a:extLst>
            <a:ext uri="{FF2B5EF4-FFF2-40B4-BE49-F238E27FC236}">
              <a16:creationId xmlns:a16="http://schemas.microsoft.com/office/drawing/2014/main" id="{C1D172A5-BC6A-E042-80B2-75FBD8E4C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400050</xdr:colOff>
      <xdr:row>33</xdr:row>
      <xdr:rowOff>44450</xdr:rowOff>
    </xdr:from>
    <xdr:to>
      <xdr:col>11</xdr:col>
      <xdr:colOff>19050</xdr:colOff>
      <xdr:row>47</xdr:row>
      <xdr:rowOff>120650</xdr:rowOff>
    </xdr:to>
    <xdr:graphicFrame macro="">
      <xdr:nvGraphicFramePr>
        <xdr:cNvPr id="4" name="Chart 3">
          <a:extLst>
            <a:ext uri="{FF2B5EF4-FFF2-40B4-BE49-F238E27FC236}">
              <a16:creationId xmlns:a16="http://schemas.microsoft.com/office/drawing/2014/main" id="{8A41AD12-04CF-BF0E-BF59-4B3E8BD94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774700</xdr:colOff>
      <xdr:row>4</xdr:row>
      <xdr:rowOff>76201</xdr:rowOff>
    </xdr:from>
    <xdr:to>
      <xdr:col>13</xdr:col>
      <xdr:colOff>228600</xdr:colOff>
      <xdr:row>20</xdr:row>
      <xdr:rowOff>63500</xdr:rowOff>
    </xdr:to>
    <xdr:graphicFrame macro="">
      <xdr:nvGraphicFramePr>
        <xdr:cNvPr id="2" name="Chart 1">
          <a:extLst>
            <a:ext uri="{FF2B5EF4-FFF2-40B4-BE49-F238E27FC236}">
              <a16:creationId xmlns:a16="http://schemas.microsoft.com/office/drawing/2014/main" id="{342B82AC-BE94-3149-B079-48AB171FF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20</xdr:row>
      <xdr:rowOff>114300</xdr:rowOff>
    </xdr:from>
    <xdr:to>
      <xdr:col>13</xdr:col>
      <xdr:colOff>228600</xdr:colOff>
      <xdr:row>35</xdr:row>
      <xdr:rowOff>0</xdr:rowOff>
    </xdr:to>
    <xdr:graphicFrame macro="">
      <xdr:nvGraphicFramePr>
        <xdr:cNvPr id="3" name="Chart 2">
          <a:extLst>
            <a:ext uri="{FF2B5EF4-FFF2-40B4-BE49-F238E27FC236}">
              <a16:creationId xmlns:a16="http://schemas.microsoft.com/office/drawing/2014/main" id="{2AD60D87-61D0-1443-BA1A-FD729F30B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228600</xdr:colOff>
      <xdr:row>4</xdr:row>
      <xdr:rowOff>69850</xdr:rowOff>
    </xdr:from>
    <xdr:to>
      <xdr:col>7</xdr:col>
      <xdr:colOff>736600</xdr:colOff>
      <xdr:row>20</xdr:row>
      <xdr:rowOff>63500</xdr:rowOff>
    </xdr:to>
    <xdr:graphicFrame macro="">
      <xdr:nvGraphicFramePr>
        <xdr:cNvPr id="4" name="Chart 3">
          <a:extLst>
            <a:ext uri="{FF2B5EF4-FFF2-40B4-BE49-F238E27FC236}">
              <a16:creationId xmlns:a16="http://schemas.microsoft.com/office/drawing/2014/main" id="{5AACC254-EE51-B242-A84B-73F187455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63501</xdr:rowOff>
    </xdr:from>
    <xdr:to>
      <xdr:col>2</xdr:col>
      <xdr:colOff>177800</xdr:colOff>
      <xdr:row>9</xdr:row>
      <xdr:rowOff>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3F2BBD7-C8C5-1FE7-7FD0-9E700D76CF7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825501"/>
              <a:ext cx="1828800"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73031</xdr:rowOff>
    </xdr:from>
    <xdr:to>
      <xdr:col>2</xdr:col>
      <xdr:colOff>177800</xdr:colOff>
      <xdr:row>24</xdr:row>
      <xdr:rowOff>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24BA372-9B6D-8A91-2792-FC233514C01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30531"/>
              <a:ext cx="1828800" cy="1641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47631</xdr:rowOff>
    </xdr:from>
    <xdr:to>
      <xdr:col>2</xdr:col>
      <xdr:colOff>177800</xdr:colOff>
      <xdr:row>15</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6FEB2E6-1E79-7E9A-A4F6-392C218362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62131"/>
              <a:ext cx="1828800" cy="1095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0.83285</cdr:x>
      <cdr:y>0.35565</cdr:y>
    </cdr:from>
    <cdr:to>
      <cdr:x>1</cdr:x>
      <cdr:y>0.6569</cdr:y>
    </cdr:to>
    <cdr:sp macro="" textlink="">
      <cdr:nvSpPr>
        <cdr:cNvPr id="2" name="TextBox 1">
          <a:extLst xmlns:a="http://schemas.openxmlformats.org/drawingml/2006/main">
            <a:ext uri="{FF2B5EF4-FFF2-40B4-BE49-F238E27FC236}">
              <a16:creationId xmlns:a16="http://schemas.microsoft.com/office/drawing/2014/main" id="{CB617484-91FB-35FF-28B1-20F227AD288F}"/>
            </a:ext>
          </a:extLst>
        </cdr:cNvPr>
        <cdr:cNvSpPr txBox="1"/>
      </cdr:nvSpPr>
      <cdr:spPr>
        <a:xfrm xmlns:a="http://schemas.openxmlformats.org/drawingml/2006/main">
          <a:off x="3670300" y="1079499"/>
          <a:ext cx="7366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kern="1200"/>
            <a:t>Purchased </a:t>
          </a:r>
        </a:p>
        <a:p xmlns:a="http://schemas.openxmlformats.org/drawingml/2006/main">
          <a:pPr algn="ctr"/>
          <a:r>
            <a:rPr lang="en-US" sz="1100" kern="1200"/>
            <a:t>Bikes</a:t>
          </a:r>
        </a:p>
        <a:p xmlns:a="http://schemas.openxmlformats.org/drawingml/2006/main">
          <a:pPr algn="ctr"/>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0.8993</cdr:x>
      <cdr:y>0.375</cdr:y>
    </cdr:from>
    <cdr:to>
      <cdr:x>1</cdr:x>
      <cdr:y>0.70833</cdr:y>
    </cdr:to>
    <cdr:sp macro="" textlink="">
      <cdr:nvSpPr>
        <cdr:cNvPr id="2" name="TextBox 1">
          <a:extLst xmlns:a="http://schemas.openxmlformats.org/drawingml/2006/main">
            <a:ext uri="{FF2B5EF4-FFF2-40B4-BE49-F238E27FC236}">
              <a16:creationId xmlns:a16="http://schemas.microsoft.com/office/drawing/2014/main" id="{B2904DE3-79E9-2EF6-FABE-05461E5B1B4D}"/>
            </a:ext>
          </a:extLst>
        </cdr:cNvPr>
        <cdr:cNvSpPr txBox="1"/>
      </cdr:nvSpPr>
      <cdr:spPr>
        <a:xfrm xmlns:a="http://schemas.openxmlformats.org/drawingml/2006/main">
          <a:off x="8763000" y="10287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0.92028</cdr:x>
      <cdr:y>0.33796</cdr:y>
    </cdr:from>
    <cdr:to>
      <cdr:x>0.99021</cdr:x>
      <cdr:y>0.59259</cdr:y>
    </cdr:to>
    <cdr:sp macro="" textlink="">
      <cdr:nvSpPr>
        <cdr:cNvPr id="3" name="TextBox 2">
          <a:extLst xmlns:a="http://schemas.openxmlformats.org/drawingml/2006/main">
            <a:ext uri="{FF2B5EF4-FFF2-40B4-BE49-F238E27FC236}">
              <a16:creationId xmlns:a16="http://schemas.microsoft.com/office/drawing/2014/main" id="{7F4AEB58-8F83-2683-D5F3-F8828620AF4A}"/>
            </a:ext>
          </a:extLst>
        </cdr:cNvPr>
        <cdr:cNvSpPr txBox="1"/>
      </cdr:nvSpPr>
      <cdr:spPr>
        <a:xfrm xmlns:a="http://schemas.openxmlformats.org/drawingml/2006/main">
          <a:off x="8356600" y="927100"/>
          <a:ext cx="635000" cy="698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50" kern="1200"/>
            <a:t>Purchased </a:t>
          </a:r>
        </a:p>
        <a:p xmlns:a="http://schemas.openxmlformats.org/drawingml/2006/main">
          <a:pPr algn="ctr"/>
          <a:r>
            <a:rPr lang="en-US" sz="1050" kern="1200"/>
            <a:t>Bikes</a:t>
          </a:r>
        </a:p>
      </cdr:txBody>
    </cdr:sp>
  </cdr:relSizeAnchor>
</c:userShapes>
</file>

<file path=xl/drawings/drawing5.xml><?xml version="1.0" encoding="utf-8"?>
<c:userShapes xmlns:c="http://schemas.openxmlformats.org/drawingml/2006/chart">
  <cdr:relSizeAnchor xmlns:cdr="http://schemas.openxmlformats.org/drawingml/2006/chartDrawing">
    <cdr:from>
      <cdr:x>0.86849</cdr:x>
      <cdr:y>0.36534</cdr:y>
    </cdr:from>
    <cdr:to>
      <cdr:x>1</cdr:x>
      <cdr:y>0.69937</cdr:y>
    </cdr:to>
    <cdr:sp macro="" textlink="">
      <cdr:nvSpPr>
        <cdr:cNvPr id="2" name="TextBox 1">
          <a:extLst xmlns:a="http://schemas.openxmlformats.org/drawingml/2006/main">
            <a:ext uri="{FF2B5EF4-FFF2-40B4-BE49-F238E27FC236}">
              <a16:creationId xmlns:a16="http://schemas.microsoft.com/office/drawing/2014/main" id="{B6F0A9F6-90EF-597F-668E-9D7165217CD8}"/>
            </a:ext>
          </a:extLst>
        </cdr:cNvPr>
        <cdr:cNvSpPr txBox="1"/>
      </cdr:nvSpPr>
      <cdr:spPr>
        <a:xfrm xmlns:a="http://schemas.openxmlformats.org/drawingml/2006/main">
          <a:off x="4025900" y="1111250"/>
          <a:ext cx="609600" cy="1016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kern="1200"/>
            <a:t>Purchased </a:t>
          </a:r>
        </a:p>
        <a:p xmlns:a="http://schemas.openxmlformats.org/drawingml/2006/main">
          <a:pPr algn="ctr"/>
          <a:r>
            <a:rPr lang="en-US" sz="900" kern="1200"/>
            <a:t>Bikes</a:t>
          </a:r>
        </a:p>
        <a:p xmlns:a="http://schemas.openxmlformats.org/drawingml/2006/main">
          <a:pPr algn="ctr"/>
          <a:endParaRPr lang="en-US" sz="1100" kern="1200"/>
        </a:p>
        <a:p xmlns:a="http://schemas.openxmlformats.org/drawingml/2006/main">
          <a:pPr algn="ctr"/>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e" refreshedDate="45993.744865046297" createdVersion="8" refreshedVersion="8" minRefreshableVersion="3" recordCount="1000" xr:uid="{83FD61AB-FA89-CC49-94F3-2CF45B78911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290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2317C6-92E3-014A-B7C5-3198DFA0129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3:D30"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0" format="4" series="1">
      <pivotArea type="data" outline="0" fieldPosition="0">
        <references count="2">
          <reference field="4294967294" count="1" selected="0">
            <x v="0"/>
          </reference>
          <reference field="13" count="1" selected="0">
            <x v="0"/>
          </reference>
        </references>
      </pivotArea>
    </chartFormat>
    <chartFormat chart="3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DF0F75-A43B-0147-BACD-7AB8BDE40F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C5DE45-6A92-2C4E-9B36-58F9FCDCE6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7:D42"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DFB94B5-7F3D-9848-BF87-FB283EA1C3AA}" sourceName="Marital Status">
  <pivotTables>
    <pivotTable tabId="3" name="PivotTable1"/>
    <pivotTable tabId="3" name="PivotTable2"/>
    <pivotTable tabId="3" name="PivotTable3"/>
  </pivotTables>
  <data>
    <tabular pivotCacheId="629092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21B4053-9100-124A-AAC0-1D723AE69EA9}" sourceName="Education">
  <pivotTables>
    <pivotTable tabId="3" name="PivotTable1"/>
    <pivotTable tabId="3" name="PivotTable2"/>
    <pivotTable tabId="3" name="PivotTable3"/>
  </pivotTables>
  <data>
    <tabular pivotCacheId="629092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1BA760-33CE-9F46-9550-DBF55E3A7C9D}" sourceName="Region">
  <pivotTables>
    <pivotTable tabId="3" name="PivotTable1"/>
    <pivotTable tabId="3" name="PivotTable2"/>
    <pivotTable tabId="3" name="PivotTable3"/>
  </pivotTables>
  <data>
    <tabular pivotCacheId="62909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BF7803B-6620-D947-83DA-38779CEBDDC7}" cache="Slicer_Marital_Status" caption="Marital Status" rowHeight="230716"/>
  <slicer name="Education" xr10:uid="{0BD513BB-DDB0-EA41-9C71-E56C3CDC47C2}" cache="Slicer_Education" caption="Education" rowHeight="230716"/>
  <slicer name="Region" xr10:uid="{AE5B2E3D-7A53-D44A-A94D-8642A083E1D9}" cache="Slicer_Region" caption="Region" startItem="1"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26F4C-0C57-5E42-ADFE-F2E846D54B95}">
  <dimension ref="A1:N1001"/>
  <sheetViews>
    <sheetView topLeftCell="A177" workbookViewId="0">
      <selection activeCell="R868" sqref="R868"/>
    </sheetView>
  </sheetViews>
  <sheetFormatPr baseColWidth="10" defaultColWidth="11.83203125" defaultRowHeight="15" x14ac:dyDescent="0.2"/>
  <cols>
    <col min="4" max="4" width="11.83203125" style="1"/>
    <col min="14" max="14" width="15.5" customWidth="1"/>
  </cols>
  <sheetData>
    <row r="1" spans="1:14" x14ac:dyDescent="0.2">
      <c r="A1" t="s">
        <v>0</v>
      </c>
      <c r="B1" t="s">
        <v>1</v>
      </c>
      <c r="C1" t="s">
        <v>2</v>
      </c>
      <c r="D1" s="1" t="s">
        <v>3</v>
      </c>
      <c r="E1" t="s">
        <v>4</v>
      </c>
      <c r="F1" t="s">
        <v>5</v>
      </c>
      <c r="G1" t="s">
        <v>6</v>
      </c>
      <c r="H1" t="s">
        <v>7</v>
      </c>
      <c r="I1" t="s">
        <v>8</v>
      </c>
      <c r="J1" t="s">
        <v>9</v>
      </c>
      <c r="K1" t="s">
        <v>10</v>
      </c>
      <c r="L1" t="s">
        <v>11</v>
      </c>
      <c r="M1" t="s">
        <v>40</v>
      </c>
      <c r="N1" t="s">
        <v>12</v>
      </c>
    </row>
    <row r="2" spans="1:14" x14ac:dyDescent="0.2">
      <c r="A2">
        <v>12496</v>
      </c>
      <c r="B2" t="s">
        <v>36</v>
      </c>
      <c r="C2" t="s">
        <v>38</v>
      </c>
      <c r="D2" s="1">
        <v>40000</v>
      </c>
      <c r="E2">
        <v>1</v>
      </c>
      <c r="F2" t="s">
        <v>13</v>
      </c>
      <c r="G2" t="s">
        <v>14</v>
      </c>
      <c r="H2" t="s">
        <v>15</v>
      </c>
      <c r="I2">
        <v>0</v>
      </c>
      <c r="J2" t="s">
        <v>16</v>
      </c>
      <c r="K2" t="s">
        <v>17</v>
      </c>
      <c r="L2">
        <v>42</v>
      </c>
      <c r="M2" t="str">
        <f xml:space="preserve"> IF(L2&gt;54, "Old", IF(L2&gt;= 31, "Middle Age", IF(L2&lt;31,"Adolescent","Invalid")))</f>
        <v>Middle Age</v>
      </c>
      <c r="N2" t="s">
        <v>18</v>
      </c>
    </row>
    <row r="3" spans="1:14" x14ac:dyDescent="0.2">
      <c r="A3">
        <v>24107</v>
      </c>
      <c r="B3" t="s">
        <v>36</v>
      </c>
      <c r="C3" t="s">
        <v>39</v>
      </c>
      <c r="D3" s="1">
        <v>30000</v>
      </c>
      <c r="E3">
        <v>3</v>
      </c>
      <c r="F3" t="s">
        <v>19</v>
      </c>
      <c r="G3" t="s">
        <v>20</v>
      </c>
      <c r="H3" t="s">
        <v>15</v>
      </c>
      <c r="I3">
        <v>1</v>
      </c>
      <c r="J3" t="s">
        <v>16</v>
      </c>
      <c r="K3" t="s">
        <v>17</v>
      </c>
      <c r="L3">
        <v>43</v>
      </c>
      <c r="M3" t="str">
        <f t="shared" ref="M3:M66" si="0" xml:space="preserve"> IF(L3&gt;54, "Old", IF(L3&gt;= 31, "Middle Age", IF(L3&lt;31,"Adolescent","Invalid")))</f>
        <v>Middle Age</v>
      </c>
      <c r="N3" t="s">
        <v>18</v>
      </c>
    </row>
    <row r="4" spans="1:14" x14ac:dyDescent="0.2">
      <c r="A4">
        <v>14177</v>
      </c>
      <c r="B4" t="s">
        <v>36</v>
      </c>
      <c r="C4" t="s">
        <v>39</v>
      </c>
      <c r="D4" s="1">
        <v>80000</v>
      </c>
      <c r="E4">
        <v>5</v>
      </c>
      <c r="F4" t="s">
        <v>19</v>
      </c>
      <c r="G4" t="s">
        <v>21</v>
      </c>
      <c r="H4" t="s">
        <v>18</v>
      </c>
      <c r="I4">
        <v>2</v>
      </c>
      <c r="J4" t="s">
        <v>22</v>
      </c>
      <c r="K4" t="s">
        <v>17</v>
      </c>
      <c r="L4">
        <v>60</v>
      </c>
      <c r="M4" t="str">
        <f t="shared" si="0"/>
        <v>Old</v>
      </c>
      <c r="N4" t="s">
        <v>18</v>
      </c>
    </row>
    <row r="5" spans="1:14" x14ac:dyDescent="0.2">
      <c r="A5">
        <v>24381</v>
      </c>
      <c r="B5" t="s">
        <v>37</v>
      </c>
      <c r="C5" t="s">
        <v>39</v>
      </c>
      <c r="D5" s="1">
        <v>70000</v>
      </c>
      <c r="E5">
        <v>0</v>
      </c>
      <c r="F5" t="s">
        <v>13</v>
      </c>
      <c r="G5" t="s">
        <v>21</v>
      </c>
      <c r="H5" t="s">
        <v>15</v>
      </c>
      <c r="I5">
        <v>1</v>
      </c>
      <c r="J5" t="s">
        <v>23</v>
      </c>
      <c r="K5" t="s">
        <v>24</v>
      </c>
      <c r="L5">
        <v>41</v>
      </c>
      <c r="M5" t="str">
        <f t="shared" si="0"/>
        <v>Middle Age</v>
      </c>
      <c r="N5" t="s">
        <v>15</v>
      </c>
    </row>
    <row r="6" spans="1:14" x14ac:dyDescent="0.2">
      <c r="A6">
        <v>25597</v>
      </c>
      <c r="B6" t="s">
        <v>37</v>
      </c>
      <c r="C6" t="s">
        <v>39</v>
      </c>
      <c r="D6" s="1">
        <v>30000</v>
      </c>
      <c r="E6">
        <v>0</v>
      </c>
      <c r="F6" t="s">
        <v>13</v>
      </c>
      <c r="G6" t="s">
        <v>20</v>
      </c>
      <c r="H6" t="s">
        <v>18</v>
      </c>
      <c r="I6">
        <v>0</v>
      </c>
      <c r="J6" t="s">
        <v>16</v>
      </c>
      <c r="K6" t="s">
        <v>17</v>
      </c>
      <c r="L6">
        <v>36</v>
      </c>
      <c r="M6" t="str">
        <f t="shared" si="0"/>
        <v>Middle Age</v>
      </c>
      <c r="N6" t="s">
        <v>15</v>
      </c>
    </row>
    <row r="7" spans="1:14" x14ac:dyDescent="0.2">
      <c r="A7">
        <v>13507</v>
      </c>
      <c r="B7" t="s">
        <v>36</v>
      </c>
      <c r="C7" t="s">
        <v>38</v>
      </c>
      <c r="D7" s="1">
        <v>10000</v>
      </c>
      <c r="E7">
        <v>2</v>
      </c>
      <c r="F7" t="s">
        <v>19</v>
      </c>
      <c r="G7" t="s">
        <v>25</v>
      </c>
      <c r="H7" t="s">
        <v>15</v>
      </c>
      <c r="I7">
        <v>0</v>
      </c>
      <c r="J7" t="s">
        <v>26</v>
      </c>
      <c r="K7" t="s">
        <v>17</v>
      </c>
      <c r="L7">
        <v>50</v>
      </c>
      <c r="M7" t="str">
        <f t="shared" si="0"/>
        <v>Middle Age</v>
      </c>
      <c r="N7" t="s">
        <v>18</v>
      </c>
    </row>
    <row r="8" spans="1:14" x14ac:dyDescent="0.2">
      <c r="A8">
        <v>27974</v>
      </c>
      <c r="B8" t="s">
        <v>37</v>
      </c>
      <c r="C8" t="s">
        <v>39</v>
      </c>
      <c r="D8" s="1">
        <v>160000</v>
      </c>
      <c r="E8">
        <v>2</v>
      </c>
      <c r="F8" t="s">
        <v>27</v>
      </c>
      <c r="G8" t="s">
        <v>28</v>
      </c>
      <c r="H8" t="s">
        <v>15</v>
      </c>
      <c r="I8">
        <v>4</v>
      </c>
      <c r="J8" t="s">
        <v>16</v>
      </c>
      <c r="K8" t="s">
        <v>24</v>
      </c>
      <c r="L8">
        <v>33</v>
      </c>
      <c r="M8" t="str">
        <f t="shared" si="0"/>
        <v>Middle Age</v>
      </c>
      <c r="N8" t="s">
        <v>15</v>
      </c>
    </row>
    <row r="9" spans="1:14" x14ac:dyDescent="0.2">
      <c r="A9">
        <v>19364</v>
      </c>
      <c r="B9" t="s">
        <v>36</v>
      </c>
      <c r="C9" t="s">
        <v>39</v>
      </c>
      <c r="D9" s="1">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2">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2">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2">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2">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2">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1">
        <v>30000</v>
      </c>
      <c r="E67">
        <v>2</v>
      </c>
      <c r="F67" t="s">
        <v>19</v>
      </c>
      <c r="G67" t="s">
        <v>20</v>
      </c>
      <c r="H67" t="s">
        <v>15</v>
      </c>
      <c r="I67">
        <v>2</v>
      </c>
      <c r="J67" t="s">
        <v>23</v>
      </c>
      <c r="K67" t="s">
        <v>24</v>
      </c>
      <c r="L67">
        <v>68</v>
      </c>
      <c r="M67" t="str">
        <f t="shared" ref="M67:M130" si="1" xml:space="preserve"> IF(L67&gt;54, "Old", IF(L67&gt;= 31, "Middle Age", IF(L67&lt;31,"Adolescent","Invalid")))</f>
        <v>Old</v>
      </c>
      <c r="N67" t="s">
        <v>18</v>
      </c>
    </row>
    <row r="68" spans="1:14" x14ac:dyDescent="0.2">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2">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2">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2">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1">
        <v>10000</v>
      </c>
      <c r="E131">
        <v>3</v>
      </c>
      <c r="F131" t="s">
        <v>27</v>
      </c>
      <c r="G131" t="s">
        <v>25</v>
      </c>
      <c r="H131" t="s">
        <v>15</v>
      </c>
      <c r="I131">
        <v>1</v>
      </c>
      <c r="J131" t="s">
        <v>16</v>
      </c>
      <c r="K131" t="s">
        <v>17</v>
      </c>
      <c r="L131">
        <v>39</v>
      </c>
      <c r="M131" t="str">
        <f t="shared" ref="M131:M194" si="2" xml:space="preserve"> IF(L131&gt;54, "Old", IF(L131&gt;= 31, "Middle Age", IF(L131&lt;31,"Adolescent","Invalid")))</f>
        <v>Middle Age</v>
      </c>
      <c r="N131" t="s">
        <v>15</v>
      </c>
    </row>
    <row r="132" spans="1:14" x14ac:dyDescent="0.2">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38</v>
      </c>
      <c r="D195" s="1">
        <v>70000</v>
      </c>
      <c r="E195">
        <v>5</v>
      </c>
      <c r="F195" t="s">
        <v>13</v>
      </c>
      <c r="G195" t="s">
        <v>21</v>
      </c>
      <c r="H195" t="s">
        <v>15</v>
      </c>
      <c r="I195">
        <v>4</v>
      </c>
      <c r="J195" t="s">
        <v>46</v>
      </c>
      <c r="K195" t="s">
        <v>24</v>
      </c>
      <c r="L195">
        <v>41</v>
      </c>
      <c r="M195" t="str">
        <f t="shared" ref="M195:M258" si="3" xml:space="preserve"> IF(L195&gt;54, "Old", IF(L195&gt;= 31, "Middle Age", IF(L195&lt;31,"Adolescent","Invalid")))</f>
        <v>Middle Age</v>
      </c>
      <c r="N195" t="s">
        <v>18</v>
      </c>
    </row>
    <row r="196" spans="1:14" x14ac:dyDescent="0.2">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1">
        <v>50000</v>
      </c>
      <c r="E259">
        <v>0</v>
      </c>
      <c r="F259" t="s">
        <v>31</v>
      </c>
      <c r="G259" t="s">
        <v>14</v>
      </c>
      <c r="H259" t="s">
        <v>15</v>
      </c>
      <c r="I259">
        <v>0</v>
      </c>
      <c r="J259" t="s">
        <v>16</v>
      </c>
      <c r="K259" t="s">
        <v>17</v>
      </c>
      <c r="L259">
        <v>36</v>
      </c>
      <c r="M259" t="str">
        <f t="shared" ref="M259:M322" si="4" xml:space="preserve"> IF(L259&gt;54, "Old", IF(L259&gt;= 31, "Middle Age", IF(L259&lt;31,"Adolescent","Invalid")))</f>
        <v>Middle Age</v>
      </c>
      <c r="N259" t="s">
        <v>15</v>
      </c>
    </row>
    <row r="260" spans="1:14" x14ac:dyDescent="0.2">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1">
        <v>160000</v>
      </c>
      <c r="E323">
        <v>0</v>
      </c>
      <c r="F323" t="s">
        <v>31</v>
      </c>
      <c r="G323" t="s">
        <v>28</v>
      </c>
      <c r="H323" t="s">
        <v>18</v>
      </c>
      <c r="I323">
        <v>3</v>
      </c>
      <c r="J323" t="s">
        <v>16</v>
      </c>
      <c r="K323" t="s">
        <v>24</v>
      </c>
      <c r="L323">
        <v>47</v>
      </c>
      <c r="M323" t="str">
        <f t="shared" ref="M323:M386" si="5" xml:space="preserve"> IF(L323&gt;54, "Old", IF(L323&gt;= 31, "Middle Age", IF(L323&lt;31,"Adolescent","Invalid")))</f>
        <v>Middle Age</v>
      </c>
      <c r="N323" t="s">
        <v>15</v>
      </c>
    </row>
    <row r="324" spans="1:14" x14ac:dyDescent="0.2">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1">
        <v>30000</v>
      </c>
      <c r="E387">
        <v>3</v>
      </c>
      <c r="F387" t="s">
        <v>19</v>
      </c>
      <c r="G387" t="s">
        <v>20</v>
      </c>
      <c r="H387" t="s">
        <v>15</v>
      </c>
      <c r="I387">
        <v>0</v>
      </c>
      <c r="J387" t="s">
        <v>16</v>
      </c>
      <c r="K387" t="s">
        <v>17</v>
      </c>
      <c r="L387">
        <v>43</v>
      </c>
      <c r="M387" t="str">
        <f t="shared" ref="M387:M450" si="6" xml:space="preserve"> IF(L387&gt;54, "Old", IF(L387&gt;= 31, "Middle Age", IF(L387&lt;31,"Adolescent","Invalid")))</f>
        <v>Middle Age</v>
      </c>
      <c r="N387" t="s">
        <v>18</v>
      </c>
    </row>
    <row r="388" spans="1:14" x14ac:dyDescent="0.2">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1">
        <v>40000</v>
      </c>
      <c r="E451">
        <v>1</v>
      </c>
      <c r="F451" t="s">
        <v>13</v>
      </c>
      <c r="G451" t="s">
        <v>14</v>
      </c>
      <c r="H451" t="s">
        <v>15</v>
      </c>
      <c r="I451">
        <v>0</v>
      </c>
      <c r="J451" t="s">
        <v>16</v>
      </c>
      <c r="K451" t="s">
        <v>17</v>
      </c>
      <c r="L451">
        <v>42</v>
      </c>
      <c r="M451" t="str">
        <f t="shared" ref="M451:M514" si="7" xml:space="preserve"> IF(L451&gt;54, "Old", IF(L451&gt;= 31, "Middle Age", IF(L451&lt;31,"Adolescent","Invalid")))</f>
        <v>Middle Age</v>
      </c>
      <c r="N451" t="s">
        <v>18</v>
      </c>
    </row>
    <row r="452" spans="1:14" x14ac:dyDescent="0.2">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1">
        <v>60000</v>
      </c>
      <c r="E515">
        <v>4</v>
      </c>
      <c r="F515" t="s">
        <v>31</v>
      </c>
      <c r="G515" t="s">
        <v>28</v>
      </c>
      <c r="H515" t="s">
        <v>15</v>
      </c>
      <c r="I515">
        <v>2</v>
      </c>
      <c r="J515" t="s">
        <v>46</v>
      </c>
      <c r="K515" t="s">
        <v>32</v>
      </c>
      <c r="L515">
        <v>61</v>
      </c>
      <c r="M515" t="str">
        <f t="shared" ref="M515:M578" si="8" xml:space="preserve"> IF(L515&gt;54, "Old", IF(L515&gt;= 31, "Middle Age", IF(L515&lt;31,"Adolescent","Invalid")))</f>
        <v>Old</v>
      </c>
      <c r="N515" t="s">
        <v>15</v>
      </c>
    </row>
    <row r="516" spans="1:14" x14ac:dyDescent="0.2">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1">
        <v>120000</v>
      </c>
      <c r="E579">
        <v>1</v>
      </c>
      <c r="F579" t="s">
        <v>13</v>
      </c>
      <c r="G579" t="s">
        <v>28</v>
      </c>
      <c r="H579" t="s">
        <v>15</v>
      </c>
      <c r="I579">
        <v>4</v>
      </c>
      <c r="J579" t="s">
        <v>16</v>
      </c>
      <c r="K579" t="s">
        <v>32</v>
      </c>
      <c r="L579">
        <v>38</v>
      </c>
      <c r="M579" t="str">
        <f t="shared" ref="M579:M642" si="9" xml:space="preserve"> IF(L579&gt;54, "Old", IF(L579&gt;= 31, "Middle Age", IF(L579&lt;31,"Adolescent","Invalid")))</f>
        <v>Middle Age</v>
      </c>
      <c r="N579" t="s">
        <v>18</v>
      </c>
    </row>
    <row r="580" spans="1:14" x14ac:dyDescent="0.2">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1">
        <v>50000</v>
      </c>
      <c r="E643">
        <v>4</v>
      </c>
      <c r="F643" t="s">
        <v>13</v>
      </c>
      <c r="G643" t="s">
        <v>28</v>
      </c>
      <c r="H643" t="s">
        <v>15</v>
      </c>
      <c r="I643">
        <v>2</v>
      </c>
      <c r="J643" t="s">
        <v>46</v>
      </c>
      <c r="K643" t="s">
        <v>32</v>
      </c>
      <c r="L643">
        <v>64</v>
      </c>
      <c r="M643" t="str">
        <f t="shared" ref="M643:M706" si="10" xml:space="preserve"> IF(L643&gt;54, "Old", IF(L643&gt;= 31, "Middle Age", IF(L643&lt;31,"Adolescent","Invalid")))</f>
        <v>Old</v>
      </c>
      <c r="N643" t="s">
        <v>18</v>
      </c>
    </row>
    <row r="644" spans="1:14" x14ac:dyDescent="0.2">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1">
        <v>70000</v>
      </c>
      <c r="E707">
        <v>4</v>
      </c>
      <c r="F707" t="s">
        <v>13</v>
      </c>
      <c r="G707" t="s">
        <v>28</v>
      </c>
      <c r="H707" t="s">
        <v>15</v>
      </c>
      <c r="I707">
        <v>1</v>
      </c>
      <c r="J707" t="s">
        <v>46</v>
      </c>
      <c r="K707" t="s">
        <v>32</v>
      </c>
      <c r="L707">
        <v>59</v>
      </c>
      <c r="M707" t="str">
        <f t="shared" ref="M707:M770" si="11" xml:space="preserve"> IF(L707&gt;54, "Old", IF(L707&gt;= 31, "Middle Age", IF(L707&lt;31,"Adolescent","Invalid")))</f>
        <v>Old</v>
      </c>
      <c r="N707" t="s">
        <v>18</v>
      </c>
    </row>
    <row r="708" spans="1:14" x14ac:dyDescent="0.2">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1">
        <v>100000</v>
      </c>
      <c r="E771">
        <v>4</v>
      </c>
      <c r="F771" t="s">
        <v>13</v>
      </c>
      <c r="G771" t="s">
        <v>28</v>
      </c>
      <c r="H771" t="s">
        <v>15</v>
      </c>
      <c r="I771">
        <v>4</v>
      </c>
      <c r="J771" t="s">
        <v>16</v>
      </c>
      <c r="K771" t="s">
        <v>32</v>
      </c>
      <c r="L771">
        <v>40</v>
      </c>
      <c r="M771" t="str">
        <f t="shared" ref="M771:M834" si="12" xml:space="preserve"> IF(L771&gt;54, "Old", IF(L771&gt;= 31, "Middle Age", IF(L771&lt;31,"Adolescent","Invalid")))</f>
        <v>Middle Age</v>
      </c>
      <c r="N771" t="s">
        <v>18</v>
      </c>
    </row>
    <row r="772" spans="1:14" x14ac:dyDescent="0.2">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1">
        <v>70000</v>
      </c>
      <c r="E835">
        <v>0</v>
      </c>
      <c r="F835" t="s">
        <v>13</v>
      </c>
      <c r="G835" t="s">
        <v>21</v>
      </c>
      <c r="H835" t="s">
        <v>18</v>
      </c>
      <c r="I835">
        <v>1</v>
      </c>
      <c r="J835" t="s">
        <v>16</v>
      </c>
      <c r="K835" t="s">
        <v>32</v>
      </c>
      <c r="L835">
        <v>37</v>
      </c>
      <c r="M835" t="str">
        <f t="shared" ref="M835:M898" si="13" xml:space="preserve"> IF(L835&gt;54, "Old", IF(L835&gt;= 31, "Middle Age", IF(L835&lt;31,"Adolescent","Invalid")))</f>
        <v>Middle Age</v>
      </c>
      <c r="N835" t="s">
        <v>15</v>
      </c>
    </row>
    <row r="836" spans="1:14" x14ac:dyDescent="0.2">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1">
        <v>30000</v>
      </c>
      <c r="E899">
        <v>0</v>
      </c>
      <c r="F899" t="s">
        <v>29</v>
      </c>
      <c r="G899" t="s">
        <v>20</v>
      </c>
      <c r="H899" t="s">
        <v>18</v>
      </c>
      <c r="I899">
        <v>2</v>
      </c>
      <c r="J899" t="s">
        <v>16</v>
      </c>
      <c r="K899" t="s">
        <v>32</v>
      </c>
      <c r="L899">
        <v>28</v>
      </c>
      <c r="M899" t="str">
        <f t="shared" ref="M899:M962" si="14" xml:space="preserve"> IF(L899&gt;54, "Old", IF(L899&gt;= 31, "Middle Age", IF(L899&lt;31,"Adolescent","Invalid")))</f>
        <v>Adolescent</v>
      </c>
      <c r="N899" t="s">
        <v>18</v>
      </c>
    </row>
    <row r="900" spans="1:14" x14ac:dyDescent="0.2">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1">
        <v>120000</v>
      </c>
      <c r="E963">
        <v>2</v>
      </c>
      <c r="F963" t="s">
        <v>13</v>
      </c>
      <c r="G963" t="s">
        <v>28</v>
      </c>
      <c r="H963" t="s">
        <v>15</v>
      </c>
      <c r="I963">
        <v>3</v>
      </c>
      <c r="J963" t="s">
        <v>23</v>
      </c>
      <c r="K963" t="s">
        <v>32</v>
      </c>
      <c r="L963">
        <v>62</v>
      </c>
      <c r="M963" t="str">
        <f t="shared" ref="M963:M1001" si="15" xml:space="preserve"> IF(L963&gt;54, "Old", IF(L963&gt;= 31, "Middle Age", IF(L963&lt;31,"Adolescent","Invalid")))</f>
        <v>Old</v>
      </c>
      <c r="N963" t="s">
        <v>18</v>
      </c>
    </row>
    <row r="964" spans="1:14" x14ac:dyDescent="0.2">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0C126F4C-0C57-5E42-ADFE-F2E846D54B9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302AA-2E5E-134E-9870-DDA3E10A2F7D}">
  <dimension ref="A3:D42"/>
  <sheetViews>
    <sheetView topLeftCell="A15" workbookViewId="0">
      <selection activeCell="N23" sqref="N23"/>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3" t="s">
        <v>43</v>
      </c>
      <c r="B3" s="3" t="s">
        <v>44</v>
      </c>
    </row>
    <row r="4" spans="1:4" x14ac:dyDescent="0.2">
      <c r="A4" s="3" t="s">
        <v>41</v>
      </c>
      <c r="B4" t="s">
        <v>18</v>
      </c>
      <c r="C4" t="s">
        <v>15</v>
      </c>
      <c r="D4" t="s">
        <v>42</v>
      </c>
    </row>
    <row r="5" spans="1:4" x14ac:dyDescent="0.2">
      <c r="A5" s="4" t="s">
        <v>38</v>
      </c>
      <c r="B5" s="1">
        <v>54885.496183206109</v>
      </c>
      <c r="C5" s="1">
        <v>59259.259259259263</v>
      </c>
      <c r="D5" s="1">
        <v>56861.924686192469</v>
      </c>
    </row>
    <row r="6" spans="1:4" x14ac:dyDescent="0.2">
      <c r="A6" s="4" t="s">
        <v>39</v>
      </c>
      <c r="B6" s="1">
        <v>59431.818181818184</v>
      </c>
      <c r="C6" s="1">
        <v>61300.813008130084</v>
      </c>
      <c r="D6" s="1">
        <v>60200.668896321069</v>
      </c>
    </row>
    <row r="7" spans="1:4" x14ac:dyDescent="0.2">
      <c r="A7" s="4" t="s">
        <v>42</v>
      </c>
      <c r="B7" s="1">
        <v>57491.856677524433</v>
      </c>
      <c r="C7" s="1">
        <v>60346.320346320346</v>
      </c>
      <c r="D7" s="1">
        <v>58717.472118959107</v>
      </c>
    </row>
    <row r="23" spans="1:4" x14ac:dyDescent="0.2">
      <c r="A23" s="3" t="s">
        <v>45</v>
      </c>
      <c r="B23" s="3" t="s">
        <v>44</v>
      </c>
    </row>
    <row r="24" spans="1:4" x14ac:dyDescent="0.2">
      <c r="A24" s="3" t="s">
        <v>41</v>
      </c>
      <c r="B24" t="s">
        <v>18</v>
      </c>
      <c r="C24" t="s">
        <v>15</v>
      </c>
      <c r="D24" t="s">
        <v>42</v>
      </c>
    </row>
    <row r="25" spans="1:4" x14ac:dyDescent="0.2">
      <c r="A25" s="4" t="s">
        <v>16</v>
      </c>
      <c r="B25" s="7">
        <v>107</v>
      </c>
      <c r="C25" s="7">
        <v>98</v>
      </c>
      <c r="D25" s="7">
        <v>205</v>
      </c>
    </row>
    <row r="26" spans="1:4" x14ac:dyDescent="0.2">
      <c r="A26" s="4" t="s">
        <v>26</v>
      </c>
      <c r="B26" s="7">
        <v>50</v>
      </c>
      <c r="C26" s="7">
        <v>38</v>
      </c>
      <c r="D26" s="7">
        <v>88</v>
      </c>
    </row>
    <row r="27" spans="1:4" x14ac:dyDescent="0.2">
      <c r="A27" s="4" t="s">
        <v>22</v>
      </c>
      <c r="B27" s="7">
        <v>37</v>
      </c>
      <c r="C27" s="7">
        <v>44</v>
      </c>
      <c r="D27" s="7">
        <v>81</v>
      </c>
    </row>
    <row r="28" spans="1:4" x14ac:dyDescent="0.2">
      <c r="A28" s="4" t="s">
        <v>23</v>
      </c>
      <c r="B28" s="7">
        <v>63</v>
      </c>
      <c r="C28" s="7">
        <v>38</v>
      </c>
      <c r="D28" s="7">
        <v>101</v>
      </c>
    </row>
    <row r="29" spans="1:4" x14ac:dyDescent="0.2">
      <c r="A29" s="4" t="s">
        <v>46</v>
      </c>
      <c r="B29" s="7">
        <v>50</v>
      </c>
      <c r="C29" s="7">
        <v>13</v>
      </c>
      <c r="D29" s="7">
        <v>63</v>
      </c>
    </row>
    <row r="30" spans="1:4" x14ac:dyDescent="0.2">
      <c r="A30" s="4" t="s">
        <v>42</v>
      </c>
      <c r="B30" s="7">
        <v>307</v>
      </c>
      <c r="C30" s="7">
        <v>231</v>
      </c>
      <c r="D30" s="7">
        <v>538</v>
      </c>
    </row>
    <row r="37" spans="1:4" x14ac:dyDescent="0.2">
      <c r="A37" s="3" t="s">
        <v>45</v>
      </c>
      <c r="B37" s="3" t="s">
        <v>44</v>
      </c>
    </row>
    <row r="38" spans="1:4" x14ac:dyDescent="0.2">
      <c r="A38" s="3" t="s">
        <v>41</v>
      </c>
      <c r="B38" t="s">
        <v>18</v>
      </c>
      <c r="C38" t="s">
        <v>15</v>
      </c>
      <c r="D38" t="s">
        <v>42</v>
      </c>
    </row>
    <row r="39" spans="1:4" x14ac:dyDescent="0.2">
      <c r="A39" s="4" t="s">
        <v>47</v>
      </c>
      <c r="B39" s="7">
        <v>24</v>
      </c>
      <c r="C39" s="7">
        <v>14</v>
      </c>
      <c r="D39" s="7">
        <v>38</v>
      </c>
    </row>
    <row r="40" spans="1:4" x14ac:dyDescent="0.2">
      <c r="A40" s="4" t="s">
        <v>48</v>
      </c>
      <c r="B40" s="7">
        <v>187</v>
      </c>
      <c r="C40" s="7">
        <v>185</v>
      </c>
      <c r="D40" s="7">
        <v>372</v>
      </c>
    </row>
    <row r="41" spans="1:4" x14ac:dyDescent="0.2">
      <c r="A41" s="4" t="s">
        <v>49</v>
      </c>
      <c r="B41" s="7">
        <v>96</v>
      </c>
      <c r="C41" s="7">
        <v>32</v>
      </c>
      <c r="D41" s="7">
        <v>128</v>
      </c>
    </row>
    <row r="42" spans="1:4" x14ac:dyDescent="0.2">
      <c r="A42" s="4" t="s">
        <v>42</v>
      </c>
      <c r="B42" s="7">
        <v>307</v>
      </c>
      <c r="C42" s="7">
        <v>231</v>
      </c>
      <c r="D42" s="7">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7DD4B-0987-F043-B6AB-100344B4BB1E}">
  <dimension ref="A1:P4"/>
  <sheetViews>
    <sheetView showGridLines="0" tabSelected="1" workbookViewId="0">
      <selection activeCell="R8" sqref="R8"/>
    </sheetView>
  </sheetViews>
  <sheetFormatPr baseColWidth="10" defaultRowHeight="15" x14ac:dyDescent="0.2"/>
  <cols>
    <col min="14" max="14" width="2.33203125" customWidth="1"/>
    <col min="15" max="15" width="2" hidden="1" customWidth="1"/>
    <col min="16" max="16" width="10.83203125" hidden="1" customWidth="1"/>
  </cols>
  <sheetData>
    <row r="1" spans="1:16" x14ac:dyDescent="0.2">
      <c r="A1" s="5" t="s">
        <v>50</v>
      </c>
      <c r="B1" s="6"/>
      <c r="C1" s="6"/>
      <c r="D1" s="6"/>
      <c r="E1" s="6"/>
      <c r="F1" s="6"/>
      <c r="G1" s="6"/>
      <c r="H1" s="6"/>
      <c r="I1" s="6"/>
      <c r="J1" s="6"/>
      <c r="K1" s="6"/>
      <c r="L1" s="6"/>
      <c r="M1" s="6"/>
      <c r="N1" s="6"/>
      <c r="O1" s="6"/>
      <c r="P1" s="6"/>
    </row>
    <row r="2" spans="1:16" x14ac:dyDescent="0.2">
      <c r="A2" s="6"/>
      <c r="B2" s="6"/>
      <c r="C2" s="6"/>
      <c r="D2" s="6"/>
      <c r="E2" s="6"/>
      <c r="F2" s="6"/>
      <c r="G2" s="6"/>
      <c r="H2" s="6"/>
      <c r="I2" s="6"/>
      <c r="J2" s="6"/>
      <c r="K2" s="6"/>
      <c r="L2" s="6"/>
      <c r="M2" s="6"/>
      <c r="N2" s="6"/>
      <c r="O2" s="6"/>
      <c r="P2" s="6"/>
    </row>
    <row r="3" spans="1:16" x14ac:dyDescent="0.2">
      <c r="A3" s="6"/>
      <c r="B3" s="6"/>
      <c r="C3" s="6"/>
      <c r="D3" s="6"/>
      <c r="E3" s="6"/>
      <c r="F3" s="6"/>
      <c r="G3" s="6"/>
      <c r="H3" s="6"/>
      <c r="I3" s="6"/>
      <c r="J3" s="6"/>
      <c r="K3" s="6"/>
      <c r="L3" s="6"/>
      <c r="M3" s="6"/>
      <c r="N3" s="6"/>
      <c r="O3" s="6"/>
      <c r="P3" s="6"/>
    </row>
    <row r="4" spans="1:16" x14ac:dyDescent="0.2">
      <c r="A4" s="6"/>
      <c r="B4" s="6"/>
      <c r="C4" s="6"/>
      <c r="D4" s="6"/>
      <c r="E4" s="6"/>
      <c r="F4" s="6"/>
      <c r="G4" s="6"/>
      <c r="H4" s="6"/>
      <c r="I4" s="6"/>
      <c r="J4" s="6"/>
      <c r="K4" s="6"/>
      <c r="L4" s="6"/>
      <c r="M4" s="6"/>
      <c r="N4" s="6"/>
      <c r="O4" s="6"/>
      <c r="P4" s="6"/>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Inderdeep Kaur Dhanoa</cp:lastModifiedBy>
  <dcterms:created xsi:type="dcterms:W3CDTF">2022-03-18T02:50:57Z</dcterms:created>
  <dcterms:modified xsi:type="dcterms:W3CDTF">2025-12-03T02:48:53Z</dcterms:modified>
</cp:coreProperties>
</file>